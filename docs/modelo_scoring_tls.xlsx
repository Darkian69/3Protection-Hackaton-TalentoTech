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olem\Downloads\Diplomado Ciberseguridad\tls-risk-analyzer\"/>
    </mc:Choice>
  </mc:AlternateContent>
  <xr:revisionPtr revIDLastSave="0" documentId="13_ncr:1_{C26D14E6-AC9E-4C07-96EB-4ED278C840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en" sheetId="1" r:id="rId1"/>
    <sheet name="Factores_TLS" sheetId="2" r:id="rId2"/>
    <sheet name="Factores_Cert" sheetId="3" r:id="rId3"/>
    <sheet name="Ejemplo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3" l="1"/>
  <c r="E8" i="3"/>
  <c r="E7" i="3"/>
  <c r="E6" i="3"/>
  <c r="E5" i="3"/>
  <c r="E4" i="3"/>
  <c r="E8" i="2"/>
  <c r="E7" i="2"/>
  <c r="E6" i="2"/>
  <c r="H5" i="4" s="1"/>
  <c r="I5" i="4" s="1"/>
  <c r="J5" i="4" s="1"/>
  <c r="E5" i="2"/>
  <c r="H9" i="4" s="1"/>
  <c r="I9" i="4" s="1"/>
  <c r="J9" i="4" s="1"/>
  <c r="E4" i="2"/>
  <c r="H8" i="4" s="1"/>
  <c r="I8" i="4" s="1"/>
  <c r="J8" i="4" s="1"/>
  <c r="H6" i="4" l="1"/>
  <c r="I6" i="4" s="1"/>
  <c r="J6" i="4" s="1"/>
  <c r="H7" i="4"/>
  <c r="I7" i="4" s="1"/>
  <c r="J7" i="4" s="1"/>
  <c r="H4" i="4"/>
  <c r="I4" i="4" s="1"/>
  <c r="J4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CVSS v3.1 define grupos Base, Temporal y Environmental; el Base Score usa sub-scores de Impact y Exploitability.
https://www.first.org/cvss/v3.1/specification-document</t>
        </r>
      </text>
    </comment>
    <comment ref="B6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Adaptación propia para este proyecto TLS: no es la ecuación oficial de CVSS, sino un modelo inspirado en su estructura.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1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CVSS oficial produce scores de 0.0 a 10.0 y separa Exploitability de Impact; aquí se adapta esa lógica a un score sobre 100.
https://www.first.org/cvss/v3.1/specification-document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1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Campos tomados del archivo 'Diccionario certificado.txt' compartido por el usuario.</t>
        </r>
      </text>
    </comment>
  </commentList>
</comments>
</file>

<file path=xl/sharedStrings.xml><?xml version="1.0" encoding="utf-8"?>
<sst xmlns="http://schemas.openxmlformats.org/spreadsheetml/2006/main" count="144" uniqueCount="115">
  <si>
    <t>Modelo CVSS-like para TLS
Adaptación práctica inspirada en CVSS v3.1 para scoring de configuraciones TLS</t>
  </si>
  <si>
    <t>Objetivo</t>
  </si>
  <si>
    <t>Transformar hallazgos TLS en un puntaje defendible y consistente.</t>
  </si>
  <si>
    <t>Inspiración</t>
  </si>
  <si>
    <t>Se inspira en CVSS v3.1 usando dos ideas: Impacto y Explotabilidad.</t>
  </si>
  <si>
    <t>Fórmula</t>
  </si>
  <si>
    <t>Puntaje final = MAX(0, 100 - suma de penalizaciones activas)</t>
  </si>
  <si>
    <t>Penalización</t>
  </si>
  <si>
    <t>Penalización recomendada = REDONDEAR(((Impacto + Explotabilidad) / 2) × 5, 0)</t>
  </si>
  <si>
    <t>Principio</t>
  </si>
  <si>
    <t>Las buenas prácticas no elevan el score por encima de 100; evitan penalizaciones.</t>
  </si>
  <si>
    <t>Mapa de calificación</t>
  </si>
  <si>
    <t>Rango score</t>
  </si>
  <si>
    <t>Calificación</t>
  </si>
  <si>
    <t>Severidad</t>
  </si>
  <si>
    <t>Lectura sugerida</t>
  </si>
  <si>
    <t>90 - 100</t>
  </si>
  <si>
    <t>A</t>
  </si>
  <si>
    <t>Baja</t>
  </si>
  <si>
    <t>Postura TLS sólida</t>
  </si>
  <si>
    <t>75 - 89</t>
  </si>
  <si>
    <t>B</t>
  </si>
  <si>
    <t>Media</t>
  </si>
  <si>
    <t>Postura TLS aceptable con oportunidades de mejora</t>
  </si>
  <si>
    <t>60 - 74</t>
  </si>
  <si>
    <t>C</t>
  </si>
  <si>
    <t>Postura TLS mejorable</t>
  </si>
  <si>
    <t>40 - 59</t>
  </si>
  <si>
    <t>D</t>
  </si>
  <si>
    <t>Alta</t>
  </si>
  <si>
    <t>Postura TLS débil</t>
  </si>
  <si>
    <t>0 - 39</t>
  </si>
  <si>
    <t>F</t>
  </si>
  <si>
    <t>Crítica</t>
  </si>
  <si>
    <t>Postura TLS crítica</t>
  </si>
  <si>
    <t>Cómo explicarlo</t>
  </si>
  <si>
    <t>1. Se parte de 100 puntos.</t>
  </si>
  <si>
    <t>2. Cada debilidad activa recibe una penalización basada en Impacto y Explotabilidad.</t>
  </si>
  <si>
    <t>3. El score resultante se mapea a severidad y a una letra (A–F).</t>
  </si>
  <si>
    <t>4. Impacto refleja la gravedad técnica si la debilidad existe.</t>
  </si>
  <si>
    <t>5. Explotabilidad refleja qué tan fácil sería aprovechar esa debilidad.</t>
  </si>
  <si>
    <t>6. El modelo puede extenderse con factores de certificado.</t>
  </si>
  <si>
    <t>Factores TLS
Penalizaciones recomendadas para integrar en el score</t>
  </si>
  <si>
    <t>Categoría</t>
  </si>
  <si>
    <t>Condición detectada</t>
  </si>
  <si>
    <t>Impacto (0-10)</t>
  </si>
  <si>
    <t>Explotabilidad (0-10)</t>
  </si>
  <si>
    <t>Penalización recomendada</t>
  </si>
  <si>
    <t>Qué hace en el score</t>
  </si>
  <si>
    <t>Severidad esperada</t>
  </si>
  <si>
    <t>Regla de detección</t>
  </si>
  <si>
    <t>Crítico</t>
  </si>
  <si>
    <t>SSLv2 habilitado</t>
  </si>
  <si>
    <t>Resta máxima; protocolo roto</t>
  </si>
  <si>
    <t>tls_versions['SSLV2'] == True</t>
  </si>
  <si>
    <t>SSLv3 habilitado</t>
  </si>
  <si>
    <t>Resta muy alta; riesgo de downgrade / POODLE</t>
  </si>
  <si>
    <t>tls_versions['SSLV3'] == True</t>
  </si>
  <si>
    <t>Alto</t>
  </si>
  <si>
    <t>TLS 1.0 habilitado</t>
  </si>
  <si>
    <t>Resta alta por obsolescencia criptográfica</t>
  </si>
  <si>
    <t>tls_versions['TLS1.0'] == True</t>
  </si>
  <si>
    <t>Medio</t>
  </si>
  <si>
    <t>TLS 1.1 habilitado</t>
  </si>
  <si>
    <t>Resta media por soporte heredado</t>
  </si>
  <si>
    <t>tls_versions['TLS1.1'] == True</t>
  </si>
  <si>
    <t>Bajo</t>
  </si>
  <si>
    <t>TLS 1.3 no habilitado</t>
  </si>
  <si>
    <t>Resta baja; postura moderna incompleta</t>
  </si>
  <si>
    <t>tls_versions['TLS1.3'] == False</t>
  </si>
  <si>
    <t>Operativo</t>
  </si>
  <si>
    <t>Servicio HTTPS inaccesible</t>
  </si>
  <si>
    <t>Score 0 o penalización total</t>
  </si>
  <si>
    <t>No evaluable</t>
  </si>
  <si>
    <t>reachable == False</t>
  </si>
  <si>
    <t>Nota</t>
  </si>
  <si>
    <t>TLS 1.2/TLS 1.3 habilitados no suman puntos; evitan penalizaciones.</t>
  </si>
  <si>
    <t>Factores opcionales de certificado
Basados en el diccionario de certificado compartido por el usuario</t>
  </si>
  <si>
    <t>Certificado expirado</t>
  </si>
  <si>
    <t>Resta muy alta; invalida confianza</t>
  </si>
  <si>
    <t>is_expired == True</t>
  </si>
  <si>
    <t>Expira en &lt;= 30 días</t>
  </si>
  <si>
    <t>Resta preventiva por riesgo operativo</t>
  </si>
  <si>
    <t>days_to_expire &lt;= 30</t>
  </si>
  <si>
    <t>Clave débil (&lt;2048 RSA o equivalente)</t>
  </si>
  <si>
    <t>Resta alta por debilidad criptográfica</t>
  </si>
  <si>
    <t>key_info['is_weak'] == True</t>
  </si>
  <si>
    <t>Certificado autofirmado</t>
  </si>
  <si>
    <t>Resta alta por falta de confianza</t>
  </si>
  <si>
    <t>is_self_signed == True</t>
  </si>
  <si>
    <t>Cadena de confianza no válida</t>
  </si>
  <si>
    <t>Resta alta por trust chain inválida</t>
  </si>
  <si>
    <t>trust_chain != 'Valid'</t>
  </si>
  <si>
    <t>Firma débil (SHA1/MD5)</t>
  </si>
  <si>
    <t>Resta media-alta por firma obsoleta</t>
  </si>
  <si>
    <t>signature_algorithm in weak_list</t>
  </si>
  <si>
    <t>Fuente de campos</t>
  </si>
  <si>
    <t>subject, issuer, is_expired, days_to_expire, key_info, signature_algorithm, is_self_signed, trust_chain</t>
  </si>
  <si>
    <t>Ejemplos de scoring
Escenarios típicos para validar y defender la metodología</t>
  </si>
  <si>
    <t>Escenario</t>
  </si>
  <si>
    <t>SSLv2</t>
  </si>
  <si>
    <t>SSLv3</t>
  </si>
  <si>
    <t>TLS1.0</t>
  </si>
  <si>
    <t>TLS1.1</t>
  </si>
  <si>
    <t>Sin TLS1.3</t>
  </si>
  <si>
    <t>Cert. expirado</t>
  </si>
  <si>
    <t>Penalización total</t>
  </si>
  <si>
    <t>Score final</t>
  </si>
  <si>
    <t>Solo TLS 1.2 + TLS 1.3</t>
  </si>
  <si>
    <t>TLS 1.2 pero sin TLS 1.3</t>
  </si>
  <si>
    <t>TLS 1.0 + TLS 1.2</t>
  </si>
  <si>
    <t>SSLv2 + TLS1.0 + cert expirado</t>
  </si>
  <si>
    <t>Lectura</t>
  </si>
  <si>
    <t>Estos ejemplos muestran cómo aplicar las penalizaciones activas a un score base de 100.</t>
  </si>
  <si>
    <t>Media-Alta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</si>
</sst>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475569"/>
      <name val="Calibri"/>
    </font>
    <font>
      <b/>
      <sz val="12"/>
      <color rgb="FFFFFFFF"/>
      <name val="Calibri"/>
    </font>
    <font>
      <b/>
      <sz val="11"/>
      <color rgb="FF111827"/>
      <name val="Calibri"/>
    </font>
    <font>
      <b/>
      <sz val="11"/>
      <name val="Calibri"/>
    </font>
    <font>
      <sz val="11"/>
      <color rgb="FF0000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D4ED8"/>
      </patternFill>
    </fill>
    <fill>
      <patternFill patternType="solid">
        <fgColor rgb="FFE5E7EB"/>
      </patternFill>
    </fill>
    <fill>
      <patternFill patternType="solid">
        <fgColor rgb="FFDCFCE7"/>
      </patternFill>
    </fill>
    <fill>
      <patternFill patternType="solid">
        <fgColor rgb="FFDBEAFE"/>
      </patternFill>
    </fill>
    <fill>
      <patternFill patternType="solid">
        <fgColor rgb="FFFEF3C7"/>
      </patternFill>
    </fill>
    <fill>
      <patternFill patternType="solid">
        <fgColor rgb="FFFDE68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/>
      <right/>
      <top/>
      <bottom style="thin">
        <color rgb="FFD1D5DB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4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5" fillId="5" borderId="1" xfId="0" applyFont="1" applyFill="1" applyBorder="1"/>
    <xf numFmtId="0" fontId="5" fillId="6" borderId="1" xfId="0" applyFont="1" applyFill="1" applyBorder="1"/>
    <xf numFmtId="0" fontId="5" fillId="7" borderId="1" xfId="0" applyFont="1" applyFill="1" applyBorder="1"/>
    <xf numFmtId="0" fontId="5" fillId="8" borderId="1" xfId="0" applyFont="1" applyFill="1" applyBorder="1"/>
    <xf numFmtId="0" fontId="5" fillId="9" borderId="1" xfId="0" applyFont="1" applyFill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3" fillId="3" borderId="0" xfId="0" applyFont="1" applyFill="1" applyAlignment="1">
      <alignment horizontal="left" vertical="center"/>
    </xf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showGridLines="0" tabSelected="1" workbookViewId="0">
      <pane ySplit="2" topLeftCell="A3" activePane="bottomLeft" state="frozen"/>
      <selection pane="bottomLeft" activeCell="C13" sqref="C13"/>
    </sheetView>
  </sheetViews>
  <sheetFormatPr baseColWidth="10" defaultColWidth="8.88671875" defaultRowHeight="14.4" x14ac:dyDescent="0.3"/>
  <cols>
    <col min="1" max="1" width="18" customWidth="1"/>
    <col min="2" max="2" width="70" customWidth="1"/>
    <col min="3" max="3" width="16" customWidth="1"/>
    <col min="4" max="4" width="48" customWidth="1"/>
    <col min="5" max="8" width="8" customWidth="1"/>
  </cols>
  <sheetData>
    <row r="1" spans="1:8" ht="40.049999999999997" customHeight="1" x14ac:dyDescent="0.3">
      <c r="A1" s="15" t="s">
        <v>0</v>
      </c>
      <c r="B1" s="13"/>
      <c r="C1" s="13"/>
      <c r="D1" s="13"/>
      <c r="E1" s="13"/>
      <c r="F1" s="13"/>
      <c r="G1" s="13"/>
      <c r="H1" s="13"/>
    </row>
    <row r="3" spans="1:8" x14ac:dyDescent="0.3">
      <c r="A3" s="1" t="s">
        <v>1</v>
      </c>
      <c r="B3" s="2" t="s">
        <v>2</v>
      </c>
    </row>
    <row r="4" spans="1:8" x14ac:dyDescent="0.3">
      <c r="A4" s="1" t="s">
        <v>3</v>
      </c>
      <c r="B4" s="2" t="s">
        <v>4</v>
      </c>
    </row>
    <row r="5" spans="1:8" x14ac:dyDescent="0.3">
      <c r="A5" s="1" t="s">
        <v>5</v>
      </c>
      <c r="B5" s="2" t="s">
        <v>6</v>
      </c>
    </row>
    <row r="6" spans="1:8" x14ac:dyDescent="0.3">
      <c r="A6" s="1" t="s">
        <v>7</v>
      </c>
      <c r="B6" s="2" t="s">
        <v>8</v>
      </c>
    </row>
    <row r="7" spans="1:8" x14ac:dyDescent="0.3">
      <c r="A7" s="1" t="s">
        <v>9</v>
      </c>
      <c r="B7" s="2" t="s">
        <v>10</v>
      </c>
    </row>
    <row r="9" spans="1:8" ht="22.05" customHeight="1" x14ac:dyDescent="0.3">
      <c r="A9" s="12" t="s">
        <v>11</v>
      </c>
      <c r="B9" s="13"/>
      <c r="C9" s="13"/>
      <c r="D9" s="13"/>
      <c r="E9" s="13"/>
      <c r="F9" s="13"/>
      <c r="G9" s="13"/>
      <c r="H9" s="13"/>
    </row>
    <row r="10" spans="1:8" x14ac:dyDescent="0.3">
      <c r="A10" s="3" t="s">
        <v>12</v>
      </c>
      <c r="B10" s="3" t="s">
        <v>13</v>
      </c>
      <c r="C10" s="3" t="s">
        <v>14</v>
      </c>
      <c r="D10" s="3" t="s">
        <v>15</v>
      </c>
    </row>
    <row r="11" spans="1:8" x14ac:dyDescent="0.3">
      <c r="A11" s="4" t="s">
        <v>16</v>
      </c>
      <c r="B11" s="5" t="s">
        <v>17</v>
      </c>
      <c r="C11" s="4" t="s">
        <v>18</v>
      </c>
      <c r="D11" s="4" t="s">
        <v>19</v>
      </c>
    </row>
    <row r="12" spans="1:8" x14ac:dyDescent="0.3">
      <c r="A12" s="4" t="s">
        <v>20</v>
      </c>
      <c r="B12" s="6" t="s">
        <v>21</v>
      </c>
      <c r="C12" s="4" t="s">
        <v>22</v>
      </c>
      <c r="D12" s="4" t="s">
        <v>23</v>
      </c>
    </row>
    <row r="13" spans="1:8" x14ac:dyDescent="0.3">
      <c r="A13" s="4" t="s">
        <v>24</v>
      </c>
      <c r="B13" s="7" t="s">
        <v>25</v>
      </c>
      <c r="C13" s="4" t="s">
        <v>114</v>
      </c>
      <c r="D13" s="4" t="s">
        <v>26</v>
      </c>
    </row>
    <row r="14" spans="1:8" x14ac:dyDescent="0.3">
      <c r="A14" s="4" t="s">
        <v>27</v>
      </c>
      <c r="B14" s="8" t="s">
        <v>28</v>
      </c>
      <c r="C14" s="4" t="s">
        <v>29</v>
      </c>
      <c r="D14" s="4" t="s">
        <v>30</v>
      </c>
    </row>
    <row r="15" spans="1:8" x14ac:dyDescent="0.3">
      <c r="A15" s="4" t="s">
        <v>31</v>
      </c>
      <c r="B15" s="9" t="s">
        <v>32</v>
      </c>
      <c r="C15" s="4" t="s">
        <v>33</v>
      </c>
      <c r="D15" s="4" t="s">
        <v>34</v>
      </c>
    </row>
    <row r="18" spans="1:8" ht="22.05" customHeight="1" x14ac:dyDescent="0.3">
      <c r="A18" s="12" t="s">
        <v>35</v>
      </c>
      <c r="B18" s="13"/>
      <c r="C18" s="13"/>
      <c r="D18" s="13"/>
      <c r="E18" s="13"/>
      <c r="F18" s="13"/>
      <c r="G18" s="13"/>
      <c r="H18" s="13"/>
    </row>
    <row r="19" spans="1:8" x14ac:dyDescent="0.3">
      <c r="A19" s="14" t="s">
        <v>36</v>
      </c>
      <c r="B19" s="13"/>
      <c r="C19" s="13"/>
      <c r="D19" s="13"/>
      <c r="E19" s="13"/>
      <c r="F19" s="13"/>
      <c r="G19" s="13"/>
      <c r="H19" s="13"/>
    </row>
    <row r="20" spans="1:8" x14ac:dyDescent="0.3">
      <c r="A20" s="14" t="s">
        <v>37</v>
      </c>
      <c r="B20" s="13"/>
      <c r="C20" s="13"/>
      <c r="D20" s="13"/>
      <c r="E20" s="13"/>
      <c r="F20" s="13"/>
      <c r="G20" s="13"/>
      <c r="H20" s="13"/>
    </row>
    <row r="21" spans="1:8" x14ac:dyDescent="0.3">
      <c r="A21" s="14" t="s">
        <v>38</v>
      </c>
      <c r="B21" s="13"/>
      <c r="C21" s="13"/>
      <c r="D21" s="13"/>
      <c r="E21" s="13"/>
      <c r="F21" s="13"/>
      <c r="G21" s="13"/>
      <c r="H21" s="13"/>
    </row>
    <row r="22" spans="1:8" x14ac:dyDescent="0.3">
      <c r="A22" s="14" t="s">
        <v>39</v>
      </c>
      <c r="B22" s="13"/>
      <c r="C22" s="13"/>
      <c r="D22" s="13"/>
      <c r="E22" s="13"/>
      <c r="F22" s="13"/>
      <c r="G22" s="13"/>
      <c r="H22" s="13"/>
    </row>
    <row r="23" spans="1:8" x14ac:dyDescent="0.3">
      <c r="A23" s="14" t="s">
        <v>40</v>
      </c>
      <c r="B23" s="13"/>
      <c r="C23" s="13"/>
      <c r="D23" s="13"/>
      <c r="E23" s="13"/>
      <c r="F23" s="13"/>
      <c r="G23" s="13"/>
      <c r="H23" s="13"/>
    </row>
    <row r="24" spans="1:8" x14ac:dyDescent="0.3">
      <c r="A24" s="14" t="s">
        <v>41</v>
      </c>
      <c r="B24" s="13"/>
      <c r="C24" s="13"/>
      <c r="D24" s="13"/>
      <c r="E24" s="13"/>
      <c r="F24" s="13"/>
      <c r="G24" s="13"/>
      <c r="H24" s="13"/>
    </row>
  </sheetData>
  <mergeCells count="9">
    <mergeCell ref="A1:H1"/>
    <mergeCell ref="A23:H23"/>
    <mergeCell ref="A22:H22"/>
    <mergeCell ref="A9:H9"/>
    <mergeCell ref="A18:H18"/>
    <mergeCell ref="A21:H21"/>
    <mergeCell ref="A20:H20"/>
    <mergeCell ref="A24:H24"/>
    <mergeCell ref="A19:H19"/>
  </mergeCell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showGridLines="0" workbookViewId="0">
      <pane ySplit="2" topLeftCell="A3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2" width="28" customWidth="1"/>
    <col min="3" max="3" width="14" customWidth="1"/>
    <col min="4" max="4" width="18" customWidth="1"/>
    <col min="5" max="5" width="22" customWidth="1"/>
    <col min="6" max="6" width="34" customWidth="1"/>
    <col min="7" max="7" width="16" customWidth="1"/>
    <col min="8" max="8" width="28" customWidth="1"/>
  </cols>
  <sheetData>
    <row r="1" spans="1:8" ht="40.049999999999997" customHeight="1" x14ac:dyDescent="0.3">
      <c r="A1" s="15" t="s">
        <v>42</v>
      </c>
      <c r="B1" s="13"/>
      <c r="C1" s="13"/>
      <c r="D1" s="13"/>
      <c r="E1" s="13"/>
      <c r="F1" s="13"/>
      <c r="G1" s="13"/>
      <c r="H1" s="13"/>
    </row>
    <row r="3" spans="1:8" ht="28.8" x14ac:dyDescent="0.3">
      <c r="A3" s="3" t="s">
        <v>43</v>
      </c>
      <c r="B3" s="3" t="s">
        <v>44</v>
      </c>
      <c r="C3" s="3" t="s">
        <v>45</v>
      </c>
      <c r="D3" s="3" t="s">
        <v>46</v>
      </c>
      <c r="E3" s="3" t="s">
        <v>47</v>
      </c>
      <c r="F3" s="3" t="s">
        <v>48</v>
      </c>
      <c r="G3" s="3" t="s">
        <v>49</v>
      </c>
      <c r="H3" s="3" t="s">
        <v>50</v>
      </c>
    </row>
    <row r="4" spans="1:8" x14ac:dyDescent="0.3">
      <c r="A4" s="4" t="s">
        <v>51</v>
      </c>
      <c r="B4" s="4" t="s">
        <v>52</v>
      </c>
      <c r="C4" s="10">
        <v>10</v>
      </c>
      <c r="D4" s="10">
        <v>10</v>
      </c>
      <c r="E4" s="4">
        <f>ROUND(((C4+D4)/2)*5,0)</f>
        <v>50</v>
      </c>
      <c r="F4" s="4" t="s">
        <v>53</v>
      </c>
      <c r="G4" s="4" t="s">
        <v>33</v>
      </c>
      <c r="H4" s="4" t="s">
        <v>54</v>
      </c>
    </row>
    <row r="5" spans="1:8" x14ac:dyDescent="0.3">
      <c r="A5" s="4" t="s">
        <v>51</v>
      </c>
      <c r="B5" s="4" t="s">
        <v>55</v>
      </c>
      <c r="C5" s="10">
        <v>9</v>
      </c>
      <c r="D5" s="10">
        <v>8</v>
      </c>
      <c r="E5" s="4">
        <f>ROUND(((C5+D5)/2)*5,0)</f>
        <v>43</v>
      </c>
      <c r="F5" s="4" t="s">
        <v>56</v>
      </c>
      <c r="G5" s="4" t="s">
        <v>33</v>
      </c>
      <c r="H5" s="4" t="s">
        <v>57</v>
      </c>
    </row>
    <row r="6" spans="1:8" x14ac:dyDescent="0.3">
      <c r="A6" s="4" t="s">
        <v>58</v>
      </c>
      <c r="B6" s="4" t="s">
        <v>59</v>
      </c>
      <c r="C6" s="10">
        <v>6</v>
      </c>
      <c r="D6" s="10">
        <v>6</v>
      </c>
      <c r="E6" s="4">
        <f>ROUND(((C6+D6)/2)*5,0)</f>
        <v>30</v>
      </c>
      <c r="F6" s="4" t="s">
        <v>60</v>
      </c>
      <c r="G6" s="4" t="s">
        <v>29</v>
      </c>
      <c r="H6" s="4" t="s">
        <v>61</v>
      </c>
    </row>
    <row r="7" spans="1:8" x14ac:dyDescent="0.3">
      <c r="A7" s="4" t="s">
        <v>62</v>
      </c>
      <c r="B7" s="4" t="s">
        <v>63</v>
      </c>
      <c r="C7" s="10">
        <v>4</v>
      </c>
      <c r="D7" s="10">
        <v>5</v>
      </c>
      <c r="E7" s="4">
        <f>ROUND(((C7+D7)/2)*5,0)</f>
        <v>23</v>
      </c>
      <c r="F7" s="4" t="s">
        <v>64</v>
      </c>
      <c r="G7" s="4" t="s">
        <v>22</v>
      </c>
      <c r="H7" s="4" t="s">
        <v>65</v>
      </c>
    </row>
    <row r="8" spans="1:8" x14ac:dyDescent="0.3">
      <c r="A8" s="4" t="s">
        <v>66</v>
      </c>
      <c r="B8" s="4" t="s">
        <v>67</v>
      </c>
      <c r="C8" s="10">
        <v>2</v>
      </c>
      <c r="D8" s="10">
        <v>3</v>
      </c>
      <c r="E8" s="4">
        <f>ROUND(((C8+D8)/2)*5,0)</f>
        <v>13</v>
      </c>
      <c r="F8" s="4" t="s">
        <v>68</v>
      </c>
      <c r="G8" s="4" t="s">
        <v>18</v>
      </c>
      <c r="H8" s="4" t="s">
        <v>69</v>
      </c>
    </row>
    <row r="9" spans="1:8" x14ac:dyDescent="0.3">
      <c r="A9" s="4" t="s">
        <v>70</v>
      </c>
      <c r="B9" s="4" t="s">
        <v>71</v>
      </c>
      <c r="C9" s="10">
        <v>10</v>
      </c>
      <c r="D9" s="10">
        <v>10</v>
      </c>
      <c r="E9" s="4">
        <v>100</v>
      </c>
      <c r="F9" s="4" t="s">
        <v>72</v>
      </c>
      <c r="G9" s="4" t="s">
        <v>73</v>
      </c>
      <c r="H9" s="4" t="s">
        <v>74</v>
      </c>
    </row>
    <row r="11" spans="1:8" x14ac:dyDescent="0.3">
      <c r="A11" t="s">
        <v>75</v>
      </c>
      <c r="B11" t="s">
        <v>76</v>
      </c>
    </row>
  </sheetData>
  <mergeCells count="1">
    <mergeCell ref="A1:H1"/>
  </mergeCell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showGridLines="0" workbookViewId="0">
      <pane ySplit="2" topLeftCell="A3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2" width="34" customWidth="1"/>
    <col min="3" max="3" width="14" customWidth="1"/>
    <col min="4" max="4" width="18" customWidth="1"/>
    <col min="5" max="5" width="22" customWidth="1"/>
    <col min="6" max="6" width="34" customWidth="1"/>
    <col min="7" max="7" width="16" customWidth="1"/>
    <col min="8" max="8" width="30" customWidth="1"/>
  </cols>
  <sheetData>
    <row r="1" spans="1:8" ht="40.049999999999997" customHeight="1" x14ac:dyDescent="0.3">
      <c r="A1" s="15" t="s">
        <v>77</v>
      </c>
      <c r="B1" s="13"/>
      <c r="C1" s="13"/>
      <c r="D1" s="13"/>
      <c r="E1" s="13"/>
      <c r="F1" s="13"/>
      <c r="G1" s="13"/>
      <c r="H1" s="13"/>
    </row>
    <row r="3" spans="1:8" ht="28.8" x14ac:dyDescent="0.3">
      <c r="A3" s="3" t="s">
        <v>43</v>
      </c>
      <c r="B3" s="3" t="s">
        <v>44</v>
      </c>
      <c r="C3" s="3" t="s">
        <v>45</v>
      </c>
      <c r="D3" s="3" t="s">
        <v>46</v>
      </c>
      <c r="E3" s="3" t="s">
        <v>47</v>
      </c>
      <c r="F3" s="3" t="s">
        <v>48</v>
      </c>
      <c r="G3" s="3" t="s">
        <v>49</v>
      </c>
      <c r="H3" s="3" t="s">
        <v>50</v>
      </c>
    </row>
    <row r="4" spans="1:8" x14ac:dyDescent="0.3">
      <c r="A4" s="4" t="s">
        <v>51</v>
      </c>
      <c r="B4" s="4" t="s">
        <v>78</v>
      </c>
      <c r="C4" s="10">
        <v>10</v>
      </c>
      <c r="D4" s="10">
        <v>9</v>
      </c>
      <c r="E4" s="4">
        <f t="shared" ref="E4:E9" si="0">ROUND(((C4+D4)/2)*5,0)</f>
        <v>48</v>
      </c>
      <c r="F4" s="4" t="s">
        <v>79</v>
      </c>
      <c r="G4" s="4" t="s">
        <v>33</v>
      </c>
      <c r="H4" s="4" t="s">
        <v>80</v>
      </c>
    </row>
    <row r="5" spans="1:8" x14ac:dyDescent="0.3">
      <c r="A5" s="4" t="s">
        <v>62</v>
      </c>
      <c r="B5" s="4" t="s">
        <v>81</v>
      </c>
      <c r="C5" s="10">
        <v>4</v>
      </c>
      <c r="D5" s="10">
        <v>6</v>
      </c>
      <c r="E5" s="4">
        <f t="shared" si="0"/>
        <v>25</v>
      </c>
      <c r="F5" s="4" t="s">
        <v>82</v>
      </c>
      <c r="G5" s="4" t="s">
        <v>22</v>
      </c>
      <c r="H5" s="4" t="s">
        <v>83</v>
      </c>
    </row>
    <row r="6" spans="1:8" x14ac:dyDescent="0.3">
      <c r="A6" s="4" t="s">
        <v>58</v>
      </c>
      <c r="B6" s="4" t="s">
        <v>84</v>
      </c>
      <c r="C6" s="10">
        <v>8</v>
      </c>
      <c r="D6" s="10">
        <v>7</v>
      </c>
      <c r="E6" s="4">
        <f t="shared" si="0"/>
        <v>38</v>
      </c>
      <c r="F6" s="4" t="s">
        <v>85</v>
      </c>
      <c r="G6" s="4" t="s">
        <v>29</v>
      </c>
      <c r="H6" s="4" t="s">
        <v>86</v>
      </c>
    </row>
    <row r="7" spans="1:8" x14ac:dyDescent="0.3">
      <c r="A7" s="4" t="s">
        <v>58</v>
      </c>
      <c r="B7" s="4" t="s">
        <v>87</v>
      </c>
      <c r="C7" s="10">
        <v>8</v>
      </c>
      <c r="D7" s="10">
        <v>8</v>
      </c>
      <c r="E7" s="4">
        <f t="shared" si="0"/>
        <v>40</v>
      </c>
      <c r="F7" s="4" t="s">
        <v>88</v>
      </c>
      <c r="G7" s="4" t="s">
        <v>29</v>
      </c>
      <c r="H7" s="4" t="s">
        <v>89</v>
      </c>
    </row>
    <row r="8" spans="1:8" x14ac:dyDescent="0.3">
      <c r="A8" s="4" t="s">
        <v>58</v>
      </c>
      <c r="B8" s="4" t="s">
        <v>90</v>
      </c>
      <c r="C8" s="10">
        <v>9</v>
      </c>
      <c r="D8" s="10">
        <v>8</v>
      </c>
      <c r="E8" s="4">
        <f t="shared" si="0"/>
        <v>43</v>
      </c>
      <c r="F8" s="4" t="s">
        <v>91</v>
      </c>
      <c r="G8" s="4" t="s">
        <v>29</v>
      </c>
      <c r="H8" s="4" t="s">
        <v>92</v>
      </c>
    </row>
    <row r="9" spans="1:8" x14ac:dyDescent="0.3">
      <c r="A9" s="4" t="s">
        <v>62</v>
      </c>
      <c r="B9" s="4" t="s">
        <v>93</v>
      </c>
      <c r="C9" s="10">
        <v>7</v>
      </c>
      <c r="D9" s="10">
        <v>6</v>
      </c>
      <c r="E9" s="4">
        <f t="shared" si="0"/>
        <v>33</v>
      </c>
      <c r="F9" s="4" t="s">
        <v>94</v>
      </c>
      <c r="G9" s="4" t="s">
        <v>22</v>
      </c>
      <c r="H9" s="4" t="s">
        <v>95</v>
      </c>
    </row>
    <row r="11" spans="1:8" x14ac:dyDescent="0.3">
      <c r="A11" t="s">
        <v>96</v>
      </c>
      <c r="B11" t="s">
        <v>97</v>
      </c>
    </row>
  </sheetData>
  <mergeCells count="1">
    <mergeCell ref="A1:H1"/>
  </mergeCells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1"/>
  <sheetViews>
    <sheetView showGridLines="0" workbookViewId="0">
      <pane ySplit="2" topLeftCell="A3" activePane="bottomLeft" state="frozen"/>
      <selection pane="bottomLeft"/>
    </sheetView>
  </sheetViews>
  <sheetFormatPr baseColWidth="10" defaultColWidth="8.88671875" defaultRowHeight="14.4" x14ac:dyDescent="0.3"/>
  <cols>
    <col min="1" max="1" width="30" customWidth="1"/>
    <col min="2" max="3" width="8" customWidth="1"/>
    <col min="4" max="5" width="9" customWidth="1"/>
    <col min="6" max="6" width="11" customWidth="1"/>
    <col min="7" max="7" width="14" customWidth="1"/>
    <col min="8" max="8" width="18" customWidth="1"/>
    <col min="9" max="10" width="12" customWidth="1"/>
  </cols>
  <sheetData>
    <row r="1" spans="1:10" ht="40.049999999999997" customHeight="1" x14ac:dyDescent="0.3">
      <c r="A1" s="15" t="s">
        <v>98</v>
      </c>
      <c r="B1" s="13"/>
      <c r="C1" s="13"/>
      <c r="D1" s="13"/>
      <c r="E1" s="13"/>
      <c r="F1" s="13"/>
      <c r="G1" s="13"/>
      <c r="H1" s="13"/>
      <c r="I1" s="13"/>
      <c r="J1" s="13"/>
    </row>
    <row r="3" spans="1:10" x14ac:dyDescent="0.3">
      <c r="A3" s="3" t="s">
        <v>99</v>
      </c>
      <c r="B3" s="3" t="s">
        <v>100</v>
      </c>
      <c r="C3" s="3" t="s">
        <v>101</v>
      </c>
      <c r="D3" s="3" t="s">
        <v>102</v>
      </c>
      <c r="E3" s="3" t="s">
        <v>103</v>
      </c>
      <c r="F3" s="3" t="s">
        <v>104</v>
      </c>
      <c r="G3" s="3" t="s">
        <v>105</v>
      </c>
      <c r="H3" s="3" t="s">
        <v>106</v>
      </c>
      <c r="I3" s="3" t="s">
        <v>107</v>
      </c>
      <c r="J3" s="3" t="s">
        <v>13</v>
      </c>
    </row>
    <row r="4" spans="1:10" x14ac:dyDescent="0.3">
      <c r="A4" s="4" t="s">
        <v>108</v>
      </c>
      <c r="B4" s="11">
        <v>0</v>
      </c>
      <c r="C4" s="11">
        <v>0</v>
      </c>
      <c r="D4" s="11">
        <v>0</v>
      </c>
      <c r="E4" s="11">
        <v>0</v>
      </c>
      <c r="F4" s="11">
        <v>0</v>
      </c>
      <c r="G4" s="11">
        <v>0</v>
      </c>
      <c r="H4" s="4">
        <f>B4*Factores_TLS!$E$4+C4*Factores_TLS!$E$5+D4*Factores_TLS!$E$6+E4*Factores_TLS!$E$7+F4*Factores_TLS!$E$8+G4*Factores_Cert!$E$4</f>
        <v>0</v>
      </c>
      <c r="I4" s="4">
        <f t="shared" ref="I4:I9" si="0">MAX(0,100-H4)</f>
        <v>100</v>
      </c>
      <c r="J4" s="4" t="str">
        <f t="shared" ref="J4:J9" si="1">IF(I4&gt;=90,"A",IF(I4&gt;=75,"B",IF(I4&gt;=60,"C",IF(I4&gt;=40,"D","F"))))</f>
        <v>A</v>
      </c>
    </row>
    <row r="5" spans="1:10" x14ac:dyDescent="0.3">
      <c r="A5" s="4" t="s">
        <v>109</v>
      </c>
      <c r="B5" s="11">
        <v>0</v>
      </c>
      <c r="C5" s="11">
        <v>0</v>
      </c>
      <c r="D5" s="11">
        <v>0</v>
      </c>
      <c r="E5" s="11">
        <v>0</v>
      </c>
      <c r="F5" s="11">
        <v>1</v>
      </c>
      <c r="G5" s="11">
        <v>0</v>
      </c>
      <c r="H5" s="4">
        <f>B5*Factores_TLS!$E$4+C5*Factores_TLS!$E$5+D5*Factores_TLS!$E$6+E5*Factores_TLS!$E$7+F5*Factores_TLS!$E$8+G5*Factores_Cert!$E$4</f>
        <v>13</v>
      </c>
      <c r="I5" s="4">
        <f t="shared" si="0"/>
        <v>87</v>
      </c>
      <c r="J5" s="4" t="str">
        <f t="shared" si="1"/>
        <v>B</v>
      </c>
    </row>
    <row r="6" spans="1:10" x14ac:dyDescent="0.3">
      <c r="A6" s="4" t="s">
        <v>110</v>
      </c>
      <c r="B6" s="11">
        <v>0</v>
      </c>
      <c r="C6" s="11">
        <v>0</v>
      </c>
      <c r="D6" s="11">
        <v>1</v>
      </c>
      <c r="E6" s="11">
        <v>0</v>
      </c>
      <c r="F6" s="11">
        <v>1</v>
      </c>
      <c r="G6" s="11">
        <v>0</v>
      </c>
      <c r="H6" s="4">
        <f>B6*Factores_TLS!$E$4+C6*Factores_TLS!$E$5+D6*Factores_TLS!$E$6+E6*Factores_TLS!$E$7+F6*Factores_TLS!$E$8+G6*Factores_Cert!$E$4</f>
        <v>43</v>
      </c>
      <c r="I6" s="4">
        <f t="shared" si="0"/>
        <v>57</v>
      </c>
      <c r="J6" s="4" t="str">
        <f t="shared" si="1"/>
        <v>D</v>
      </c>
    </row>
    <row r="7" spans="1:10" x14ac:dyDescent="0.3">
      <c r="A7" s="4" t="s">
        <v>55</v>
      </c>
      <c r="B7" s="11">
        <v>0</v>
      </c>
      <c r="C7" s="11">
        <v>1</v>
      </c>
      <c r="D7" s="11">
        <v>0</v>
      </c>
      <c r="E7" s="11">
        <v>0</v>
      </c>
      <c r="F7" s="11">
        <v>1</v>
      </c>
      <c r="G7" s="11">
        <v>0</v>
      </c>
      <c r="H7" s="4">
        <f>B7*Factores_TLS!$E$4+C7*Factores_TLS!$E$5+D7*Factores_TLS!$E$6+E7*Factores_TLS!$E$7+F7*Factores_TLS!$E$8+G7*Factores_Cert!$E$4</f>
        <v>56</v>
      </c>
      <c r="I7" s="4">
        <f t="shared" si="0"/>
        <v>44</v>
      </c>
      <c r="J7" s="4" t="str">
        <f t="shared" si="1"/>
        <v>D</v>
      </c>
    </row>
    <row r="8" spans="1:10" x14ac:dyDescent="0.3">
      <c r="A8" s="4" t="s">
        <v>78</v>
      </c>
      <c r="B8" s="11">
        <v>0</v>
      </c>
      <c r="C8" s="11">
        <v>0</v>
      </c>
      <c r="D8" s="11">
        <v>0</v>
      </c>
      <c r="E8" s="11">
        <v>0</v>
      </c>
      <c r="F8" s="11">
        <v>0</v>
      </c>
      <c r="G8" s="11">
        <v>1</v>
      </c>
      <c r="H8" s="4">
        <f>B8*Factores_TLS!$E$4+C8*Factores_TLS!$E$5+D8*Factores_TLS!$E$6+E8*Factores_TLS!$E$7+F8*Factores_TLS!$E$8+G8*Factores_Cert!$E$4</f>
        <v>48</v>
      </c>
      <c r="I8" s="4">
        <f t="shared" si="0"/>
        <v>52</v>
      </c>
      <c r="J8" s="4" t="str">
        <f t="shared" si="1"/>
        <v>D</v>
      </c>
    </row>
    <row r="9" spans="1:10" x14ac:dyDescent="0.3">
      <c r="A9" s="4" t="s">
        <v>111</v>
      </c>
      <c r="B9" s="11">
        <v>1</v>
      </c>
      <c r="C9" s="11">
        <v>0</v>
      </c>
      <c r="D9" s="11">
        <v>1</v>
      </c>
      <c r="E9" s="11">
        <v>0</v>
      </c>
      <c r="F9" s="11">
        <v>1</v>
      </c>
      <c r="G9" s="11">
        <v>1</v>
      </c>
      <c r="H9" s="4">
        <f>B9*Factores_TLS!$E$4+C9*Factores_TLS!$E$5+D9*Factores_TLS!$E$6+E9*Factores_TLS!$E$7+F9*Factores_TLS!$E$8+G9*Factores_Cert!$E$4</f>
        <v>141</v>
      </c>
      <c r="I9" s="4">
        <f t="shared" si="0"/>
        <v>0</v>
      </c>
      <c r="J9" s="4" t="str">
        <f t="shared" si="1"/>
        <v>F</v>
      </c>
    </row>
    <row r="11" spans="1:10" x14ac:dyDescent="0.3">
      <c r="A11" t="s">
        <v>112</v>
      </c>
      <c r="B11" s="14" t="s">
        <v>113</v>
      </c>
      <c r="C11" s="13"/>
      <c r="D11" s="13"/>
      <c r="E11" s="13"/>
      <c r="F11" s="13"/>
      <c r="G11" s="13"/>
      <c r="H11" s="13"/>
      <c r="I11" s="13"/>
      <c r="J11" s="13"/>
    </row>
  </sheetData>
  <mergeCells count="2">
    <mergeCell ref="A1:J1"/>
    <mergeCell ref="B11:J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Factores_TLS</vt:lpstr>
      <vt:lpstr>Factores_Cert</vt:lpstr>
      <vt:lpstr>Ejemplos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Marin</cp:lastModifiedBy>
  <dcterms:created xsi:type="dcterms:W3CDTF">2026-03-28T19:24:19Z</dcterms:created>
  <dcterms:modified xsi:type="dcterms:W3CDTF">2026-03-28T20:33:54Z</dcterms:modified>
</cp:coreProperties>
</file>